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mpaign" sheetId="2" state="visible" r:id="rId4"/>
    <sheet name="Sensitivity" sheetId="3" state="visible" r:id="rId5"/>
    <sheet name="Monthly &amp; Annu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Set &lt;100% only after you negotiate a supplier discount. At launch assume C=V.</t>
        </r>
      </text>
    </comment>
    <comment ref="B14" authorId="0">
      <text>
        <r>
          <rPr>
            <sz val="10"/>
            <rFont val="Arial"/>
            <family val="2"/>
          </rPr>
          <t xml:space="preserve">Gift-card breakage benchmarks ~10-15%. Forfeitable promo credit runs higher. This is THE key variable.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If your strongest players spend more, raise this; it lowers profit slightly (winner's voucher is funded by their own spend).</t>
        </r>
      </text>
    </comment>
  </commentList>
</comments>
</file>

<file path=xl/sharedStrings.xml><?xml version="1.0" encoding="utf-8"?>
<sst xmlns="http://schemas.openxmlformats.org/spreadsheetml/2006/main" count="76" uniqueCount="71">
  <si>
    <t xml:space="preserve">PwnIt 2 — Unit Economics Model</t>
  </si>
  <si>
    <t xml:space="preserve">Illustrative defaults — replace the blue cells with your own numbers. Blue = input, black = formula, green = pulled from another sheet.</t>
  </si>
  <si>
    <t xml:space="preserve">How the money works: with a fair 1:1 discount on a voucher sold near cost, every BUYER pays ~face value for a ~face-value voucher, so buyers fund roughly R0 of the free prize. The winner's free voucher is paid for by three things only: (1) the winner's own play spend, (2) BREAKAGE — losing players who never redeem their discount, and (3) any wholesale margin if you can source below face. Subscription revenue is a separate, stable base. So: subscription = steady margin; breakage = the variable engine; wholesale margin = the multiplier that also lets buyers become profitable.</t>
  </si>
  <si>
    <t xml:space="preserve">Inputs</t>
  </si>
  <si>
    <t xml:space="preserve">Voucher face value (V)</t>
  </si>
  <si>
    <t xml:space="preserve">R — what the winner wins / a buyer receives</t>
  </si>
  <si>
    <t xml:space="preserve">Voucher wholesale cost (C)</t>
  </si>
  <si>
    <t xml:space="preserve">R — your cost to source it. = face if you have no supplier deal yet</t>
  </si>
  <si>
    <t xml:space="preserve">Wholesale discount vs face</t>
  </si>
  <si>
    <t xml:space="preserve">Derived. &gt;0 only once you negotiate supply below face</t>
  </si>
  <si>
    <t xml:space="preserve">Play price (p)</t>
  </si>
  <si>
    <t xml:space="preserve">R per game played</t>
  </si>
  <si>
    <t xml:space="preserve">Players per campaign</t>
  </si>
  <si>
    <t xml:space="preserve">Participating users in one campaign</t>
  </si>
  <si>
    <t xml:space="preserve">Share of players who pay</t>
  </si>
  <si>
    <t xml:space="preserve">Rest play only the free daily game (R0)</t>
  </si>
  <si>
    <t xml:space="preserve">Avg paid plays per paying player</t>
  </si>
  <si>
    <t xml:space="preserve">Games bought per payer over the campaign</t>
  </si>
  <si>
    <t xml:space="preserve">Breakage rate</t>
  </si>
  <si>
    <t xml:space="preserve">Share of NON-winner paid spend that is never redeemed (lose, don't buy)</t>
  </si>
  <si>
    <t xml:space="preserve">Subscription price / month</t>
  </si>
  <si>
    <t xml:space="preserve">R per subscriber per month</t>
  </si>
  <si>
    <t xml:space="preserve">Subscription uptake</t>
  </si>
  <si>
    <t xml:space="preserve">Share of players who subscribe (stable base)</t>
  </si>
  <si>
    <t xml:space="preserve">Campaigns per month</t>
  </si>
  <si>
    <t xml:space="preserve">How many campaigns you run per month</t>
  </si>
  <si>
    <t xml:space="preserve">Single-Campaign P&amp;L (current assumptions)</t>
  </si>
  <si>
    <t xml:space="preserve">Volume</t>
  </si>
  <si>
    <t xml:space="preserve">Players (participating)</t>
  </si>
  <si>
    <t xml:space="preserve">Paying players</t>
  </si>
  <si>
    <t xml:space="preserve">Avg paid spend per paying player</t>
  </si>
  <si>
    <t xml:space="preserve">plays x price</t>
  </si>
  <si>
    <t xml:space="preserve">Total paid play revenue (P)</t>
  </si>
  <si>
    <t xml:space="preserve">Winner's paid spend</t>
  </si>
  <si>
    <t xml:space="preserve">assume the winner spends about the average</t>
  </si>
  <si>
    <t xml:space="preserve">Non-winner paid spend</t>
  </si>
  <si>
    <t xml:space="preserve">Redeemers — buy with discount (count)</t>
  </si>
  <si>
    <t xml:space="preserve">expected value</t>
  </si>
  <si>
    <t xml:space="preserve">Breakage — lose &amp; don't buy (count)</t>
  </si>
  <si>
    <t xml:space="preserve">Breakage revenue (forfeited play spend)</t>
  </si>
  <si>
    <t xml:space="preserve">Profit &amp; Loss</t>
  </si>
  <si>
    <t xml:space="preserve">Revenue: play revenue (all players)</t>
  </si>
  <si>
    <t xml:space="preserve">Revenue: purchase top-ups (redeemers)</t>
  </si>
  <si>
    <t xml:space="preserve">redeemers x V, minus their own discount (their paid spend)</t>
  </si>
  <si>
    <t xml:space="preserve">Total revenue</t>
  </si>
  <si>
    <t xml:space="preserve">Less: voucher cost (winner + buyers)</t>
  </si>
  <si>
    <t xml:space="preserve">C x (1 + redeemers)</t>
  </si>
  <si>
    <t xml:space="preserve">Campaign profit (pre-subscription)</t>
  </si>
  <si>
    <t xml:space="preserve">Check — shortcut formula</t>
  </si>
  <si>
    <t xml:space="preserve">winner + breakage + buyers x (V-C) - C</t>
  </si>
  <si>
    <t xml:space="preserve">Check matches P&amp;L?</t>
  </si>
  <si>
    <t xml:space="preserve">Ratios</t>
  </si>
  <si>
    <t xml:space="preserve">Profit per paying player</t>
  </si>
  <si>
    <t xml:space="preserve">Break-even breakage rate</t>
  </si>
  <si>
    <t xml:space="preserve">breakage at which this campaign breaks even (most meaningful when C is near face)</t>
  </si>
  <si>
    <t xml:space="preserve">Read</t>
  </si>
  <si>
    <t xml:space="preserve">Campaign profit (R) by breakage x wholesale discount</t>
  </si>
  <si>
    <t xml:space="preserve">Rows = breakage rate. Columns = wholesale discount vs face. All other inputs from the Assumptions sheet.</t>
  </si>
  <si>
    <t xml:space="preserve">breakage \ wholesale disc</t>
  </si>
  <si>
    <t xml:space="preserve">Red = loss, green = profit. The current Assumptions point is shown on the Campaign sheet.</t>
  </si>
  <si>
    <t xml:space="preserve">Monthly &amp; Annual Roll-up</t>
  </si>
  <si>
    <t xml:space="preserve">Campaign profit (per campaign, current)</t>
  </si>
  <si>
    <t xml:space="preserve">Campaign contribution / month</t>
  </si>
  <si>
    <t xml:space="preserve">breakage-funded engine</t>
  </si>
  <si>
    <t xml:space="preserve">Subscribers</t>
  </si>
  <si>
    <t xml:space="preserve">players x uptake (simplifying assumption)</t>
  </si>
  <si>
    <t xml:space="preserve">Subscription revenue / month</t>
  </si>
  <si>
    <t xml:space="preserve">stable recurring base</t>
  </si>
  <si>
    <t xml:space="preserve">Total profit / month</t>
  </si>
  <si>
    <t xml:space="preserve">Total profit / year</t>
  </si>
  <si>
    <t xml:space="preserve">Note: subscription is modelled as the stable base; breakage-funded campaigns are the variable engine. A supplier discount (Assumptions C &lt; V) adds margin on every buyer and lowers the break-even breakage rate.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</si>
</sst>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R#,##0;&quot;(R&quot;#,##0\);\-"/>
    <numFmt numFmtId="166" formatCode="0.0%"/>
    <numFmt numFmtId="167" formatCode="#,##0"/>
    <numFmt numFmtId="168" formatCode="#,##0.0"/>
    <numFmt numFmtId="169" formatCode="\R#,##0.0;&quot;(R&quot;#,##0.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10"/>
      <color rgb="FF3333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E8EFE9"/>
        <bgColor rgb="FFD7F0DD"/>
      </patternFill>
    </fill>
    <fill>
      <patternFill patternType="solid">
        <fgColor rgb="FFFFF2CC"/>
        <bgColor rgb="FFE8EF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7F0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F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F172A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91.5" hidden="false" customHeight="true" outlineLevel="0" collapsed="false">
      <c r="A4" s="3" t="s">
        <v>2</v>
      </c>
      <c r="B4" s="3"/>
      <c r="C4" s="3"/>
    </row>
    <row r="6" customFormat="false" ht="15" hidden="false" customHeight="false" outlineLevel="0" collapsed="false">
      <c r="A6" s="4" t="s">
        <v>3</v>
      </c>
      <c r="B6" s="4"/>
      <c r="C6" s="4"/>
    </row>
    <row r="7" customFormat="false" ht="15" hidden="false" customHeight="false" outlineLevel="0" collapsed="false">
      <c r="A7" s="5" t="s">
        <v>4</v>
      </c>
      <c r="B7" s="6" t="n">
        <v>1000</v>
      </c>
      <c r="C7" s="7" t="s">
        <v>5</v>
      </c>
    </row>
    <row r="8" customFormat="false" ht="15" hidden="false" customHeight="false" outlineLevel="0" collapsed="false">
      <c r="A8" s="5" t="s">
        <v>6</v>
      </c>
      <c r="B8" s="6" t="n">
        <v>1000</v>
      </c>
      <c r="C8" s="7" t="s">
        <v>7</v>
      </c>
    </row>
    <row r="9" customFormat="false" ht="15" hidden="false" customHeight="false" outlineLevel="0" collapsed="false">
      <c r="A9" s="5" t="s">
        <v>8</v>
      </c>
      <c r="B9" s="8" t="n">
        <f aca="false">1-B8/B7</f>
        <v>0</v>
      </c>
      <c r="C9" s="7" t="s">
        <v>9</v>
      </c>
    </row>
    <row r="10" customFormat="false" ht="15" hidden="false" customHeight="false" outlineLevel="0" collapsed="false">
      <c r="A10" s="5" t="s">
        <v>10</v>
      </c>
      <c r="B10" s="6" t="n">
        <v>5</v>
      </c>
      <c r="C10" s="7" t="s">
        <v>11</v>
      </c>
    </row>
    <row r="11" customFormat="false" ht="15" hidden="false" customHeight="false" outlineLevel="0" collapsed="false">
      <c r="A11" s="5" t="s">
        <v>12</v>
      </c>
      <c r="B11" s="9" t="n">
        <v>200</v>
      </c>
      <c r="C11" s="7" t="s">
        <v>13</v>
      </c>
    </row>
    <row r="12" customFormat="false" ht="15" hidden="false" customHeight="false" outlineLevel="0" collapsed="false">
      <c r="A12" s="5" t="s">
        <v>14</v>
      </c>
      <c r="B12" s="10" t="n">
        <v>0.75</v>
      </c>
      <c r="C12" s="7" t="s">
        <v>15</v>
      </c>
    </row>
    <row r="13" customFormat="false" ht="15" hidden="false" customHeight="false" outlineLevel="0" collapsed="false">
      <c r="A13" s="5" t="s">
        <v>16</v>
      </c>
      <c r="B13" s="9" t="n">
        <v>8</v>
      </c>
      <c r="C13" s="7" t="s">
        <v>17</v>
      </c>
    </row>
    <row r="14" customFormat="false" ht="15" hidden="false" customHeight="false" outlineLevel="0" collapsed="false">
      <c r="A14" s="5" t="s">
        <v>18</v>
      </c>
      <c r="B14" s="11" t="n">
        <v>0.35</v>
      </c>
      <c r="C14" s="7" t="s">
        <v>19</v>
      </c>
    </row>
    <row r="15" customFormat="false" ht="15" hidden="false" customHeight="false" outlineLevel="0" collapsed="false">
      <c r="A15" s="5" t="s">
        <v>20</v>
      </c>
      <c r="B15" s="12" t="n">
        <v>49</v>
      </c>
      <c r="C15" s="7" t="s">
        <v>21</v>
      </c>
    </row>
    <row r="16" customFormat="false" ht="15" hidden="false" customHeight="false" outlineLevel="0" collapsed="false">
      <c r="A16" s="5" t="s">
        <v>22</v>
      </c>
      <c r="B16" s="10" t="n">
        <v>0.05</v>
      </c>
      <c r="C16" s="7" t="s">
        <v>23</v>
      </c>
    </row>
    <row r="17" customFormat="false" ht="15" hidden="false" customHeight="false" outlineLevel="0" collapsed="false">
      <c r="A17" s="5" t="s">
        <v>24</v>
      </c>
      <c r="B17" s="13" t="n">
        <v>4</v>
      </c>
      <c r="C17" s="7" t="s">
        <v>25</v>
      </c>
    </row>
  </sheetData>
  <mergeCells count="4">
    <mergeCell ref="A1:C1"/>
    <mergeCell ref="A2:C2"/>
    <mergeCell ref="A4:C4"/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26</v>
      </c>
      <c r="B1" s="1"/>
      <c r="C1" s="1"/>
    </row>
    <row r="3" customFormat="false" ht="15" hidden="false" customHeight="false" outlineLevel="0" collapsed="false">
      <c r="A3" s="4" t="s">
        <v>27</v>
      </c>
      <c r="B3" s="4"/>
      <c r="C3" s="4"/>
    </row>
    <row r="4" customFormat="false" ht="15" hidden="false" customHeight="false" outlineLevel="0" collapsed="false">
      <c r="A4" s="5" t="s">
        <v>4</v>
      </c>
      <c r="B4" s="14" t="n">
        <f aca="false">Assumptions!B7</f>
        <v>1000</v>
      </c>
    </row>
    <row r="5" customFormat="false" ht="15" hidden="false" customHeight="false" outlineLevel="0" collapsed="false">
      <c r="A5" s="5" t="s">
        <v>6</v>
      </c>
      <c r="B5" s="14" t="n">
        <f aca="false">Assumptions!B8</f>
        <v>1000</v>
      </c>
    </row>
    <row r="6" customFormat="false" ht="15" hidden="false" customHeight="false" outlineLevel="0" collapsed="false">
      <c r="A6" s="5" t="s">
        <v>10</v>
      </c>
      <c r="B6" s="14" t="n">
        <f aca="false">Assumptions!B10</f>
        <v>5</v>
      </c>
    </row>
    <row r="7" customFormat="false" ht="15" hidden="false" customHeight="false" outlineLevel="0" collapsed="false">
      <c r="A7" s="5" t="s">
        <v>28</v>
      </c>
      <c r="B7" s="15" t="n">
        <f aca="false">Assumptions!B11</f>
        <v>200</v>
      </c>
    </row>
    <row r="8" customFormat="false" ht="15" hidden="false" customHeight="false" outlineLevel="0" collapsed="false">
      <c r="A8" s="5" t="s">
        <v>29</v>
      </c>
      <c r="B8" s="16" t="n">
        <f aca="false">B7*Assumptions!B12</f>
        <v>150</v>
      </c>
    </row>
    <row r="9" customFormat="false" ht="15" hidden="false" customHeight="false" outlineLevel="0" collapsed="false">
      <c r="A9" s="5" t="s">
        <v>30</v>
      </c>
      <c r="B9" s="17" t="n">
        <f aca="false">Assumptions!B13*B6</f>
        <v>40</v>
      </c>
      <c r="C9" s="7" t="s">
        <v>31</v>
      </c>
    </row>
    <row r="10" customFormat="false" ht="15" hidden="false" customHeight="false" outlineLevel="0" collapsed="false">
      <c r="A10" s="5" t="s">
        <v>32</v>
      </c>
      <c r="B10" s="17" t="n">
        <f aca="false">B8*B9</f>
        <v>6000</v>
      </c>
    </row>
    <row r="11" customFormat="false" ht="15" hidden="false" customHeight="false" outlineLevel="0" collapsed="false">
      <c r="A11" s="5" t="s">
        <v>33</v>
      </c>
      <c r="B11" s="17" t="n">
        <f aca="false">B9</f>
        <v>40</v>
      </c>
      <c r="C11" s="7" t="s">
        <v>34</v>
      </c>
    </row>
    <row r="12" customFormat="false" ht="15" hidden="false" customHeight="false" outlineLevel="0" collapsed="false">
      <c r="A12" s="5" t="s">
        <v>35</v>
      </c>
      <c r="B12" s="17" t="n">
        <f aca="false">B10-B11</f>
        <v>5960</v>
      </c>
    </row>
    <row r="13" customFormat="false" ht="15" hidden="false" customHeight="false" outlineLevel="0" collapsed="false">
      <c r="A13" s="5" t="s">
        <v>36</v>
      </c>
      <c r="B13" s="16" t="n">
        <f aca="false">(B8-1)*(1-Assumptions!B14)</f>
        <v>96.85</v>
      </c>
      <c r="C13" s="7" t="s">
        <v>37</v>
      </c>
    </row>
    <row r="14" customFormat="false" ht="15" hidden="false" customHeight="false" outlineLevel="0" collapsed="false">
      <c r="A14" s="5" t="s">
        <v>38</v>
      </c>
      <c r="B14" s="16" t="n">
        <f aca="false">(B8-1)*Assumptions!B14</f>
        <v>52.15</v>
      </c>
      <c r="C14" s="7" t="s">
        <v>37</v>
      </c>
    </row>
    <row r="15" customFormat="false" ht="15" hidden="false" customHeight="false" outlineLevel="0" collapsed="false">
      <c r="A15" s="5" t="s">
        <v>39</v>
      </c>
      <c r="B15" s="17" t="n">
        <f aca="false">B12*Assumptions!B14</f>
        <v>2086</v>
      </c>
    </row>
    <row r="17" customFormat="false" ht="15" hidden="false" customHeight="false" outlineLevel="0" collapsed="false">
      <c r="A17" s="4" t="s">
        <v>40</v>
      </c>
      <c r="B17" s="4"/>
      <c r="C17" s="4"/>
    </row>
    <row r="18" customFormat="false" ht="15" hidden="false" customHeight="false" outlineLevel="0" collapsed="false">
      <c r="A18" s="5" t="s">
        <v>41</v>
      </c>
      <c r="B18" s="17" t="n">
        <f aca="false">B10</f>
        <v>6000</v>
      </c>
    </row>
    <row r="19" customFormat="false" ht="15" hidden="false" customHeight="false" outlineLevel="0" collapsed="false">
      <c r="A19" s="5" t="s">
        <v>42</v>
      </c>
      <c r="B19" s="17" t="n">
        <f aca="false">B13*B4 - B12*(1-Assumptions!B14)</f>
        <v>92976</v>
      </c>
      <c r="C19" s="7" t="s">
        <v>43</v>
      </c>
    </row>
    <row r="20" customFormat="false" ht="15" hidden="false" customHeight="false" outlineLevel="0" collapsed="false">
      <c r="A20" s="5" t="s">
        <v>44</v>
      </c>
      <c r="B20" s="18" t="n">
        <f aca="false">B18+B19</f>
        <v>98976</v>
      </c>
    </row>
    <row r="21" customFormat="false" ht="15" hidden="false" customHeight="false" outlineLevel="0" collapsed="false">
      <c r="A21" s="5" t="s">
        <v>45</v>
      </c>
      <c r="B21" s="17" t="n">
        <f aca="false">-B5*(1+B13)</f>
        <v>-97850</v>
      </c>
      <c r="C21" s="7" t="s">
        <v>46</v>
      </c>
    </row>
    <row r="22" customFormat="false" ht="15" hidden="false" customHeight="false" outlineLevel="0" collapsed="false">
      <c r="A22" s="5" t="s">
        <v>47</v>
      </c>
      <c r="B22" s="19" t="n">
        <f aca="false">B20+B21</f>
        <v>1126</v>
      </c>
    </row>
    <row r="24" customFormat="false" ht="15" hidden="false" customHeight="false" outlineLevel="0" collapsed="false">
      <c r="A24" s="5" t="s">
        <v>48</v>
      </c>
      <c r="B24" s="20" t="n">
        <f aca="false">B11+B15+B13*(B4-B5)-B5</f>
        <v>1126</v>
      </c>
      <c r="C24" s="7" t="s">
        <v>49</v>
      </c>
    </row>
    <row r="25" customFormat="false" ht="15" hidden="false" customHeight="false" outlineLevel="0" collapsed="false">
      <c r="A25" s="5" t="s">
        <v>50</v>
      </c>
      <c r="B25" s="21" t="str">
        <f aca="false">IF(ROUND(B22-B24,2)=0,"yes - match","MISMATCH")</f>
        <v>yes - match</v>
      </c>
    </row>
    <row r="27" customFormat="false" ht="15" hidden="false" customHeight="false" outlineLevel="0" collapsed="false">
      <c r="A27" s="4" t="s">
        <v>51</v>
      </c>
      <c r="B27" s="4"/>
      <c r="C27" s="4"/>
    </row>
    <row r="28" customFormat="false" ht="15" hidden="false" customHeight="false" outlineLevel="0" collapsed="false">
      <c r="A28" s="5" t="s">
        <v>52</v>
      </c>
      <c r="B28" s="22" t="n">
        <f aca="false">IFERROR(B22/B8,0)</f>
        <v>7.50666666666667</v>
      </c>
    </row>
    <row r="29" customFormat="false" ht="15" hidden="false" customHeight="false" outlineLevel="0" collapsed="false">
      <c r="A29" s="5" t="s">
        <v>53</v>
      </c>
      <c r="B29" s="23" t="n">
        <f aca="false">IFERROR((B5-B11-(B8-1)*(B4-B5))/(B12-(B8-1)*(B4-B5)),"n/a")</f>
        <v>0.161073825503356</v>
      </c>
      <c r="C29" s="7" t="s">
        <v>54</v>
      </c>
    </row>
    <row r="30" customFormat="false" ht="30" hidden="false" customHeight="true" outlineLevel="0" collapsed="false">
      <c r="A30" s="5" t="s">
        <v>55</v>
      </c>
      <c r="B30" s="24" t="str">
        <f aca="false">IF(B22&gt;=0,IF((B11+(B8-1)*(B4-B5)-B5)&gt;=0,"Profitable even at 0% breakage","Profitable at the current breakage rate"),"Loss at the current breakage rate — needs more breakage or a supplier discount")</f>
        <v>Profitable at the current breakage rate</v>
      </c>
      <c r="C30" s="24"/>
    </row>
  </sheetData>
  <mergeCells count="5">
    <mergeCell ref="A1:C1"/>
    <mergeCell ref="A3:C3"/>
    <mergeCell ref="A17:C17"/>
    <mergeCell ref="A27:C27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5" t="s">
        <v>58</v>
      </c>
      <c r="B4" s="26" t="n">
        <v>0</v>
      </c>
      <c r="C4" s="26" t="n">
        <v>0.05</v>
      </c>
      <c r="D4" s="26" t="n">
        <v>0.1</v>
      </c>
      <c r="E4" s="26" t="n">
        <v>0.15</v>
      </c>
      <c r="F4" s="26" t="n">
        <v>0.2</v>
      </c>
    </row>
    <row r="5" customFormat="false" ht="15" hidden="false" customHeight="false" outlineLevel="0" collapsed="false">
      <c r="A5" s="27" t="n">
        <v>0</v>
      </c>
      <c r="B5" s="28" t="n">
        <f aca="false">(Assumptions!$B$13*Assumptions!$B$10)+(((Assumptions!$B$11*Assumptions!$B$12)*(Assumptions!$B$13*Assumptions!$B$10))-(Assumptions!$B$13*Assumptions!$B$10))*$A5+((Assumptions!$B$11*Assumptions!$B$12)-1)*(1-$A5)*(Assumptions!$B$7*B$4)-Assumptions!$B$7*(1-B$4)</f>
        <v>-960</v>
      </c>
      <c r="C5" s="28" t="n">
        <f aca="false">(Assumptions!$B$13*Assumptions!$B$10)+(((Assumptions!$B$11*Assumptions!$B$12)*(Assumptions!$B$13*Assumptions!$B$10))-(Assumptions!$B$13*Assumptions!$B$10))*$A5+((Assumptions!$B$11*Assumptions!$B$12)-1)*(1-$A5)*(Assumptions!$B$7*C$4)-Assumptions!$B$7*(1-C$4)</f>
        <v>6540</v>
      </c>
      <c r="D5" s="28" t="n">
        <f aca="false">(Assumptions!$B$13*Assumptions!$B$10)+(((Assumptions!$B$11*Assumptions!$B$12)*(Assumptions!$B$13*Assumptions!$B$10))-(Assumptions!$B$13*Assumptions!$B$10))*$A5+((Assumptions!$B$11*Assumptions!$B$12)-1)*(1-$A5)*(Assumptions!$B$7*D$4)-Assumptions!$B$7*(1-D$4)</f>
        <v>14040</v>
      </c>
      <c r="E5" s="28" t="n">
        <f aca="false">(Assumptions!$B$13*Assumptions!$B$10)+(((Assumptions!$B$11*Assumptions!$B$12)*(Assumptions!$B$13*Assumptions!$B$10))-(Assumptions!$B$13*Assumptions!$B$10))*$A5+((Assumptions!$B$11*Assumptions!$B$12)-1)*(1-$A5)*(Assumptions!$B$7*E$4)-Assumptions!$B$7*(1-E$4)</f>
        <v>21540</v>
      </c>
      <c r="F5" s="28" t="n">
        <f aca="false">(Assumptions!$B$13*Assumptions!$B$10)+(((Assumptions!$B$11*Assumptions!$B$12)*(Assumptions!$B$13*Assumptions!$B$10))-(Assumptions!$B$13*Assumptions!$B$10))*$A5+((Assumptions!$B$11*Assumptions!$B$12)-1)*(1-$A5)*(Assumptions!$B$7*F$4)-Assumptions!$B$7*(1-F$4)</f>
        <v>29040</v>
      </c>
    </row>
    <row r="6" customFormat="false" ht="15" hidden="false" customHeight="false" outlineLevel="0" collapsed="false">
      <c r="A6" s="27" t="n">
        <v>0.1</v>
      </c>
      <c r="B6" s="28" t="n">
        <f aca="false">(Assumptions!$B$13*Assumptions!$B$10)+(((Assumptions!$B$11*Assumptions!$B$12)*(Assumptions!$B$13*Assumptions!$B$10))-(Assumptions!$B$13*Assumptions!$B$10))*$A6+((Assumptions!$B$11*Assumptions!$B$12)-1)*(1-$A6)*(Assumptions!$B$7*B$4)-Assumptions!$B$7*(1-B$4)</f>
        <v>-364</v>
      </c>
      <c r="C6" s="28" t="n">
        <f aca="false">(Assumptions!$B$13*Assumptions!$B$10)+(((Assumptions!$B$11*Assumptions!$B$12)*(Assumptions!$B$13*Assumptions!$B$10))-(Assumptions!$B$13*Assumptions!$B$10))*$A6+((Assumptions!$B$11*Assumptions!$B$12)-1)*(1-$A6)*(Assumptions!$B$7*C$4)-Assumptions!$B$7*(1-C$4)</f>
        <v>6391</v>
      </c>
      <c r="D6" s="28" t="n">
        <f aca="false">(Assumptions!$B$13*Assumptions!$B$10)+(((Assumptions!$B$11*Assumptions!$B$12)*(Assumptions!$B$13*Assumptions!$B$10))-(Assumptions!$B$13*Assumptions!$B$10))*$A6+((Assumptions!$B$11*Assumptions!$B$12)-1)*(1-$A6)*(Assumptions!$B$7*D$4)-Assumptions!$B$7*(1-D$4)</f>
        <v>13146</v>
      </c>
      <c r="E6" s="28" t="n">
        <f aca="false">(Assumptions!$B$13*Assumptions!$B$10)+(((Assumptions!$B$11*Assumptions!$B$12)*(Assumptions!$B$13*Assumptions!$B$10))-(Assumptions!$B$13*Assumptions!$B$10))*$A6+((Assumptions!$B$11*Assumptions!$B$12)-1)*(1-$A6)*(Assumptions!$B$7*E$4)-Assumptions!$B$7*(1-E$4)</f>
        <v>19901</v>
      </c>
      <c r="F6" s="28" t="n">
        <f aca="false">(Assumptions!$B$13*Assumptions!$B$10)+(((Assumptions!$B$11*Assumptions!$B$12)*(Assumptions!$B$13*Assumptions!$B$10))-(Assumptions!$B$13*Assumptions!$B$10))*$A6+((Assumptions!$B$11*Assumptions!$B$12)-1)*(1-$A6)*(Assumptions!$B$7*F$4)-Assumptions!$B$7*(1-F$4)</f>
        <v>26656</v>
      </c>
    </row>
    <row r="7" customFormat="false" ht="15" hidden="false" customHeight="false" outlineLevel="0" collapsed="false">
      <c r="A7" s="27" t="n">
        <v>0.2</v>
      </c>
      <c r="B7" s="28" t="n">
        <f aca="false">(Assumptions!$B$13*Assumptions!$B$10)+(((Assumptions!$B$11*Assumptions!$B$12)*(Assumptions!$B$13*Assumptions!$B$10))-(Assumptions!$B$13*Assumptions!$B$10))*$A7+((Assumptions!$B$11*Assumptions!$B$12)-1)*(1-$A7)*(Assumptions!$B$7*B$4)-Assumptions!$B$7*(1-B$4)</f>
        <v>232</v>
      </c>
      <c r="C7" s="28" t="n">
        <f aca="false">(Assumptions!$B$13*Assumptions!$B$10)+(((Assumptions!$B$11*Assumptions!$B$12)*(Assumptions!$B$13*Assumptions!$B$10))-(Assumptions!$B$13*Assumptions!$B$10))*$A7+((Assumptions!$B$11*Assumptions!$B$12)-1)*(1-$A7)*(Assumptions!$B$7*C$4)-Assumptions!$B$7*(1-C$4)</f>
        <v>6242</v>
      </c>
      <c r="D7" s="28" t="n">
        <f aca="false">(Assumptions!$B$13*Assumptions!$B$10)+(((Assumptions!$B$11*Assumptions!$B$12)*(Assumptions!$B$13*Assumptions!$B$10))-(Assumptions!$B$13*Assumptions!$B$10))*$A7+((Assumptions!$B$11*Assumptions!$B$12)-1)*(1-$A7)*(Assumptions!$B$7*D$4)-Assumptions!$B$7*(1-D$4)</f>
        <v>12252</v>
      </c>
      <c r="E7" s="28" t="n">
        <f aca="false">(Assumptions!$B$13*Assumptions!$B$10)+(((Assumptions!$B$11*Assumptions!$B$12)*(Assumptions!$B$13*Assumptions!$B$10))-(Assumptions!$B$13*Assumptions!$B$10))*$A7+((Assumptions!$B$11*Assumptions!$B$12)-1)*(1-$A7)*(Assumptions!$B$7*E$4)-Assumptions!$B$7*(1-E$4)</f>
        <v>18262</v>
      </c>
      <c r="F7" s="28" t="n">
        <f aca="false">(Assumptions!$B$13*Assumptions!$B$10)+(((Assumptions!$B$11*Assumptions!$B$12)*(Assumptions!$B$13*Assumptions!$B$10))-(Assumptions!$B$13*Assumptions!$B$10))*$A7+((Assumptions!$B$11*Assumptions!$B$12)-1)*(1-$A7)*(Assumptions!$B$7*F$4)-Assumptions!$B$7*(1-F$4)</f>
        <v>24272</v>
      </c>
    </row>
    <row r="8" customFormat="false" ht="15" hidden="false" customHeight="false" outlineLevel="0" collapsed="false">
      <c r="A8" s="27" t="n">
        <v>0.3</v>
      </c>
      <c r="B8" s="28" t="n">
        <f aca="false">(Assumptions!$B$13*Assumptions!$B$10)+(((Assumptions!$B$11*Assumptions!$B$12)*(Assumptions!$B$13*Assumptions!$B$10))-(Assumptions!$B$13*Assumptions!$B$10))*$A8+((Assumptions!$B$11*Assumptions!$B$12)-1)*(1-$A8)*(Assumptions!$B$7*B$4)-Assumptions!$B$7*(1-B$4)</f>
        <v>828</v>
      </c>
      <c r="C8" s="28" t="n">
        <f aca="false">(Assumptions!$B$13*Assumptions!$B$10)+(((Assumptions!$B$11*Assumptions!$B$12)*(Assumptions!$B$13*Assumptions!$B$10))-(Assumptions!$B$13*Assumptions!$B$10))*$A8+((Assumptions!$B$11*Assumptions!$B$12)-1)*(1-$A8)*(Assumptions!$B$7*C$4)-Assumptions!$B$7*(1-C$4)</f>
        <v>6093</v>
      </c>
      <c r="D8" s="28" t="n">
        <f aca="false">(Assumptions!$B$13*Assumptions!$B$10)+(((Assumptions!$B$11*Assumptions!$B$12)*(Assumptions!$B$13*Assumptions!$B$10))-(Assumptions!$B$13*Assumptions!$B$10))*$A8+((Assumptions!$B$11*Assumptions!$B$12)-1)*(1-$A8)*(Assumptions!$B$7*D$4)-Assumptions!$B$7*(1-D$4)</f>
        <v>11358</v>
      </c>
      <c r="E8" s="28" t="n">
        <f aca="false">(Assumptions!$B$13*Assumptions!$B$10)+(((Assumptions!$B$11*Assumptions!$B$12)*(Assumptions!$B$13*Assumptions!$B$10))-(Assumptions!$B$13*Assumptions!$B$10))*$A8+((Assumptions!$B$11*Assumptions!$B$12)-1)*(1-$A8)*(Assumptions!$B$7*E$4)-Assumptions!$B$7*(1-E$4)</f>
        <v>16623</v>
      </c>
      <c r="F8" s="28" t="n">
        <f aca="false">(Assumptions!$B$13*Assumptions!$B$10)+(((Assumptions!$B$11*Assumptions!$B$12)*(Assumptions!$B$13*Assumptions!$B$10))-(Assumptions!$B$13*Assumptions!$B$10))*$A8+((Assumptions!$B$11*Assumptions!$B$12)-1)*(1-$A8)*(Assumptions!$B$7*F$4)-Assumptions!$B$7*(1-F$4)</f>
        <v>21888</v>
      </c>
    </row>
    <row r="9" customFormat="false" ht="15" hidden="false" customHeight="false" outlineLevel="0" collapsed="false">
      <c r="A9" s="27" t="n">
        <v>0.4</v>
      </c>
      <c r="B9" s="28" t="n">
        <f aca="false">(Assumptions!$B$13*Assumptions!$B$10)+(((Assumptions!$B$11*Assumptions!$B$12)*(Assumptions!$B$13*Assumptions!$B$10))-(Assumptions!$B$13*Assumptions!$B$10))*$A9+((Assumptions!$B$11*Assumptions!$B$12)-1)*(1-$A9)*(Assumptions!$B$7*B$4)-Assumptions!$B$7*(1-B$4)</f>
        <v>1424</v>
      </c>
      <c r="C9" s="28" t="n">
        <f aca="false">(Assumptions!$B$13*Assumptions!$B$10)+(((Assumptions!$B$11*Assumptions!$B$12)*(Assumptions!$B$13*Assumptions!$B$10))-(Assumptions!$B$13*Assumptions!$B$10))*$A9+((Assumptions!$B$11*Assumptions!$B$12)-1)*(1-$A9)*(Assumptions!$B$7*C$4)-Assumptions!$B$7*(1-C$4)</f>
        <v>5944</v>
      </c>
      <c r="D9" s="28" t="n">
        <f aca="false">(Assumptions!$B$13*Assumptions!$B$10)+(((Assumptions!$B$11*Assumptions!$B$12)*(Assumptions!$B$13*Assumptions!$B$10))-(Assumptions!$B$13*Assumptions!$B$10))*$A9+((Assumptions!$B$11*Assumptions!$B$12)-1)*(1-$A9)*(Assumptions!$B$7*D$4)-Assumptions!$B$7*(1-D$4)</f>
        <v>10464</v>
      </c>
      <c r="E9" s="28" t="n">
        <f aca="false">(Assumptions!$B$13*Assumptions!$B$10)+(((Assumptions!$B$11*Assumptions!$B$12)*(Assumptions!$B$13*Assumptions!$B$10))-(Assumptions!$B$13*Assumptions!$B$10))*$A9+((Assumptions!$B$11*Assumptions!$B$12)-1)*(1-$A9)*(Assumptions!$B$7*E$4)-Assumptions!$B$7*(1-E$4)</f>
        <v>14984</v>
      </c>
      <c r="F9" s="28" t="n">
        <f aca="false">(Assumptions!$B$13*Assumptions!$B$10)+(((Assumptions!$B$11*Assumptions!$B$12)*(Assumptions!$B$13*Assumptions!$B$10))-(Assumptions!$B$13*Assumptions!$B$10))*$A9+((Assumptions!$B$11*Assumptions!$B$12)-1)*(1-$A9)*(Assumptions!$B$7*F$4)-Assumptions!$B$7*(1-F$4)</f>
        <v>19504</v>
      </c>
    </row>
    <row r="10" customFormat="false" ht="15" hidden="false" customHeight="false" outlineLevel="0" collapsed="false">
      <c r="A10" s="27" t="n">
        <v>0.5</v>
      </c>
      <c r="B10" s="28" t="n">
        <f aca="false">(Assumptions!$B$13*Assumptions!$B$10)+(((Assumptions!$B$11*Assumptions!$B$12)*(Assumptions!$B$13*Assumptions!$B$10))-(Assumptions!$B$13*Assumptions!$B$10))*$A10+((Assumptions!$B$11*Assumptions!$B$12)-1)*(1-$A10)*(Assumptions!$B$7*B$4)-Assumptions!$B$7*(1-B$4)</f>
        <v>2020</v>
      </c>
      <c r="C10" s="28" t="n">
        <f aca="false">(Assumptions!$B$13*Assumptions!$B$10)+(((Assumptions!$B$11*Assumptions!$B$12)*(Assumptions!$B$13*Assumptions!$B$10))-(Assumptions!$B$13*Assumptions!$B$10))*$A10+((Assumptions!$B$11*Assumptions!$B$12)-1)*(1-$A10)*(Assumptions!$B$7*C$4)-Assumptions!$B$7*(1-C$4)</f>
        <v>5795</v>
      </c>
      <c r="D10" s="28" t="n">
        <f aca="false">(Assumptions!$B$13*Assumptions!$B$10)+(((Assumptions!$B$11*Assumptions!$B$12)*(Assumptions!$B$13*Assumptions!$B$10))-(Assumptions!$B$13*Assumptions!$B$10))*$A10+((Assumptions!$B$11*Assumptions!$B$12)-1)*(1-$A10)*(Assumptions!$B$7*D$4)-Assumptions!$B$7*(1-D$4)</f>
        <v>9570</v>
      </c>
      <c r="E10" s="28" t="n">
        <f aca="false">(Assumptions!$B$13*Assumptions!$B$10)+(((Assumptions!$B$11*Assumptions!$B$12)*(Assumptions!$B$13*Assumptions!$B$10))-(Assumptions!$B$13*Assumptions!$B$10))*$A10+((Assumptions!$B$11*Assumptions!$B$12)-1)*(1-$A10)*(Assumptions!$B$7*E$4)-Assumptions!$B$7*(1-E$4)</f>
        <v>13345</v>
      </c>
      <c r="F10" s="28" t="n">
        <f aca="false">(Assumptions!$B$13*Assumptions!$B$10)+(((Assumptions!$B$11*Assumptions!$B$12)*(Assumptions!$B$13*Assumptions!$B$10))-(Assumptions!$B$13*Assumptions!$B$10))*$A10+((Assumptions!$B$11*Assumptions!$B$12)-1)*(1-$A10)*(Assumptions!$B$7*F$4)-Assumptions!$B$7*(1-F$4)</f>
        <v>17120</v>
      </c>
    </row>
    <row r="11" customFormat="false" ht="15" hidden="false" customHeight="false" outlineLevel="0" collapsed="false">
      <c r="A11" s="27" t="n">
        <v>0.6</v>
      </c>
      <c r="B11" s="28" t="n">
        <f aca="false">(Assumptions!$B$13*Assumptions!$B$10)+(((Assumptions!$B$11*Assumptions!$B$12)*(Assumptions!$B$13*Assumptions!$B$10))-(Assumptions!$B$13*Assumptions!$B$10))*$A11+((Assumptions!$B$11*Assumptions!$B$12)-1)*(1-$A11)*(Assumptions!$B$7*B$4)-Assumptions!$B$7*(1-B$4)</f>
        <v>2616</v>
      </c>
      <c r="C11" s="28" t="n">
        <f aca="false">(Assumptions!$B$13*Assumptions!$B$10)+(((Assumptions!$B$11*Assumptions!$B$12)*(Assumptions!$B$13*Assumptions!$B$10))-(Assumptions!$B$13*Assumptions!$B$10))*$A11+((Assumptions!$B$11*Assumptions!$B$12)-1)*(1-$A11)*(Assumptions!$B$7*C$4)-Assumptions!$B$7*(1-C$4)</f>
        <v>5646</v>
      </c>
      <c r="D11" s="28" t="n">
        <f aca="false">(Assumptions!$B$13*Assumptions!$B$10)+(((Assumptions!$B$11*Assumptions!$B$12)*(Assumptions!$B$13*Assumptions!$B$10))-(Assumptions!$B$13*Assumptions!$B$10))*$A11+((Assumptions!$B$11*Assumptions!$B$12)-1)*(1-$A11)*(Assumptions!$B$7*D$4)-Assumptions!$B$7*(1-D$4)</f>
        <v>8676</v>
      </c>
      <c r="E11" s="28" t="n">
        <f aca="false">(Assumptions!$B$13*Assumptions!$B$10)+(((Assumptions!$B$11*Assumptions!$B$12)*(Assumptions!$B$13*Assumptions!$B$10))-(Assumptions!$B$13*Assumptions!$B$10))*$A11+((Assumptions!$B$11*Assumptions!$B$12)-1)*(1-$A11)*(Assumptions!$B$7*E$4)-Assumptions!$B$7*(1-E$4)</f>
        <v>11706</v>
      </c>
      <c r="F11" s="28" t="n">
        <f aca="false">(Assumptions!$B$13*Assumptions!$B$10)+(((Assumptions!$B$11*Assumptions!$B$12)*(Assumptions!$B$13*Assumptions!$B$10))-(Assumptions!$B$13*Assumptions!$B$10))*$A11+((Assumptions!$B$11*Assumptions!$B$12)-1)*(1-$A11)*(Assumptions!$B$7*F$4)-Assumptions!$B$7*(1-F$4)</f>
        <v>14736</v>
      </c>
    </row>
    <row r="13" customFormat="false" ht="15" hidden="false" customHeight="false" outlineLevel="0" collapsed="false">
      <c r="A13" s="29" t="s">
        <v>59</v>
      </c>
      <c r="B13" s="29"/>
      <c r="C13" s="29"/>
      <c r="D13" s="29"/>
      <c r="E13" s="29"/>
      <c r="F13" s="29"/>
    </row>
  </sheetData>
  <mergeCells count="3">
    <mergeCell ref="A1:F1"/>
    <mergeCell ref="A2:F2"/>
    <mergeCell ref="A13:F13"/>
  </mergeCells>
  <conditionalFormatting sqref="B5:F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60</v>
      </c>
      <c r="B1" s="1"/>
      <c r="C1" s="1"/>
    </row>
    <row r="4" customFormat="false" ht="15" hidden="false" customHeight="false" outlineLevel="0" collapsed="false">
      <c r="A4" s="5" t="s">
        <v>61</v>
      </c>
      <c r="B4" s="14" t="n">
        <f aca="false">Campaign!B22</f>
        <v>1126</v>
      </c>
    </row>
    <row r="5" customFormat="false" ht="15" hidden="false" customHeight="false" outlineLevel="0" collapsed="false">
      <c r="A5" s="5" t="s">
        <v>24</v>
      </c>
      <c r="B5" s="15" t="n">
        <f aca="false">Assumptions!B17</f>
        <v>4</v>
      </c>
    </row>
    <row r="6" customFormat="false" ht="15" hidden="false" customHeight="false" outlineLevel="0" collapsed="false">
      <c r="A6" s="5" t="s">
        <v>62</v>
      </c>
      <c r="B6" s="17" t="n">
        <f aca="false">B4*B5</f>
        <v>4504</v>
      </c>
      <c r="C6" s="7" t="s">
        <v>63</v>
      </c>
    </row>
    <row r="7" customFormat="false" ht="15" hidden="false" customHeight="false" outlineLevel="0" collapsed="false">
      <c r="A7" s="5" t="s">
        <v>64</v>
      </c>
      <c r="B7" s="30" t="n">
        <f aca="false">ROUND(Assumptions!B11*Assumptions!B16,0)</f>
        <v>10</v>
      </c>
      <c r="C7" s="7" t="s">
        <v>65</v>
      </c>
    </row>
    <row r="8" customFormat="false" ht="15" hidden="false" customHeight="false" outlineLevel="0" collapsed="false">
      <c r="A8" s="5" t="s">
        <v>66</v>
      </c>
      <c r="B8" s="17" t="n">
        <f aca="false">B7*Assumptions!B15</f>
        <v>490</v>
      </c>
      <c r="C8" s="7" t="s">
        <v>67</v>
      </c>
    </row>
    <row r="9" customFormat="false" ht="15" hidden="false" customHeight="false" outlineLevel="0" collapsed="false">
      <c r="A9" s="31" t="s">
        <v>68</v>
      </c>
      <c r="B9" s="18" t="n">
        <f aca="false">B6+B8</f>
        <v>4994</v>
      </c>
    </row>
    <row r="10" customFormat="false" ht="15" hidden="false" customHeight="false" outlineLevel="0" collapsed="false">
      <c r="A10" s="31" t="s">
        <v>69</v>
      </c>
      <c r="B10" s="19" t="n">
        <f aca="false">B9*12</f>
        <v>59928</v>
      </c>
    </row>
    <row r="12" customFormat="false" ht="43.5" hidden="false" customHeight="true" outlineLevel="0" collapsed="false">
      <c r="A12" s="32" t="s">
        <v>70</v>
      </c>
      <c r="B12" s="32"/>
      <c r="C12" s="32"/>
    </row>
  </sheetData>
  <mergeCells count="2">
    <mergeCell ref="A1:C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2026-06-06T11:03:16Z</dcterms:created>
  <dc:creator>openpyxl</dc:creator>
  <dc:description/>
  <dc:language>en-US</dc:language>
  <cp:lastModifiedBy/>
  <dcterms:modified xsi:type="dcterms:W3CDTF">2026-06-06T11:03:16Z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